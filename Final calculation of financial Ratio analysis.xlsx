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emester 2 notes\PPT\"/>
    </mc:Choice>
  </mc:AlternateContent>
  <xr:revisionPtr revIDLastSave="0" documentId="8_{C08D78D3-E78C-4FF1-8ECE-983D525B05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quidity Ratios" sheetId="1" r:id="rId1"/>
    <sheet name="Solvency &amp; Coverage Ratios" sheetId="2" r:id="rId2"/>
    <sheet name="Efficiency Ratios" sheetId="3" r:id="rId3"/>
    <sheet name="Profitability Ratios" sheetId="4" r:id="rId4"/>
    <sheet name="DuPont Analys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</calcChain>
</file>

<file path=xl/sharedStrings.xml><?xml version="1.0" encoding="utf-8"?>
<sst xmlns="http://schemas.openxmlformats.org/spreadsheetml/2006/main" count="378" uniqueCount="316">
  <si>
    <t>LIQUIDITY RATIOS</t>
  </si>
  <si>
    <t>Ratio</t>
  </si>
  <si>
    <t>Formula</t>
  </si>
  <si>
    <t>FY2025 Calculation</t>
  </si>
  <si>
    <t>FY2025 Result</t>
  </si>
  <si>
    <t>FY2024 Calculation</t>
  </si>
  <si>
    <t>FY2024 Result</t>
  </si>
  <si>
    <t>Current Ratio</t>
  </si>
  <si>
    <t>Current Assets / Current Liabilities</t>
  </si>
  <si>
    <t>11,701 / 3,326</t>
  </si>
  <si>
    <t>5,458 / 2,083</t>
  </si>
  <si>
    <t>Quick Ratio</t>
  </si>
  <si>
    <t>(CA - Inventory) / CL</t>
  </si>
  <si>
    <t>(11,701 − 176) / 3,326</t>
  </si>
  <si>
    <t>(5,458 − 88) / 2,083</t>
  </si>
  <si>
    <t>Cash Ratio</t>
  </si>
  <si>
    <t>(Cash + Curr. Investment) / CL</t>
  </si>
  <si>
    <t>(666 + 2,272) / 3,326</t>
  </si>
  <si>
    <t>(309 + 1,280) / 2,083</t>
  </si>
  <si>
    <t>Net Working Capital</t>
  </si>
  <si>
    <t>CA − CL</t>
  </si>
  <si>
    <t>11,701 − 3,326</t>
  </si>
  <si>
    <t>5,458 − 2,083</t>
  </si>
  <si>
    <t>SOLVENCY &amp; COVERAGE RATIOS</t>
  </si>
  <si>
    <t>Debt-to-Equity</t>
  </si>
  <si>
    <t>Total Liabilities / Total Equity</t>
  </si>
  <si>
    <t>5,313 / 30,310</t>
  </si>
  <si>
    <t>0.18x</t>
  </si>
  <si>
    <t>2,950 / 20,406</t>
  </si>
  <si>
    <t>0.14x</t>
  </si>
  <si>
    <t>Debt-to-Asset</t>
  </si>
  <si>
    <t>Total Liabilities / Total Assets</t>
  </si>
  <si>
    <t>5,313 / 35,623</t>
  </si>
  <si>
    <t>0.15x</t>
  </si>
  <si>
    <t>2,950 / 23,356</t>
  </si>
  <si>
    <t>0.13x</t>
  </si>
  <si>
    <t>Proprietary Ratio</t>
  </si>
  <si>
    <t>Total Equity or Propitetary fund / Total Assets</t>
  </si>
  <si>
    <t>30,310 / 35,623</t>
  </si>
  <si>
    <t>0.85x</t>
  </si>
  <si>
    <t>20,406 / 23,356</t>
  </si>
  <si>
    <t>0.87x</t>
  </si>
  <si>
    <t>Interest Coverage (ICR)</t>
  </si>
  <si>
    <t>EBIT /  Interest on long term debt</t>
  </si>
  <si>
    <t>851 / 154</t>
  </si>
  <si>
    <t>5.53x</t>
  </si>
  <si>
    <t>363 / 72</t>
  </si>
  <si>
    <t>5.04x</t>
  </si>
  <si>
    <t>DSCR (Debt Service Coverage Ratio)</t>
  </si>
  <si>
    <t>PAT + Dep + Int+share based payment(non cash) / Debt Service</t>
  </si>
  <si>
    <t>2,342 / 405</t>
  </si>
  <si>
    <t>5.78x</t>
  </si>
  <si>
    <t>1,464 / 196</t>
  </si>
  <si>
    <t>7.47x</t>
  </si>
  <si>
    <t>Earning avialable for debt service/Interest+instalment</t>
  </si>
  <si>
    <t>FCCR (Fixed Charge Coverage Ratio)</t>
  </si>
  <si>
    <t>EBIT+Dep / Interest + Repayment of loan</t>
  </si>
  <si>
    <t>(851 + 863) / 405</t>
  </si>
  <si>
    <t>4.23x</t>
  </si>
  <si>
    <t>(363 + 526) / 196</t>
  </si>
  <si>
    <t>4.53x</t>
  </si>
  <si>
    <t>EBIT = Profit Before Tax + Finance Costs</t>
  </si>
  <si>
    <t>EBIT=291+72=363</t>
  </si>
  <si>
    <t>EBIT = 697+154 = 851</t>
  </si>
  <si>
    <t>PAT =  Profit Before Tax - Tax expense</t>
  </si>
  <si>
    <t>PAT= 291-60=231</t>
  </si>
  <si>
    <t>PAT= 697-170=527</t>
  </si>
  <si>
    <t>share based payment (non cash=</t>
  </si>
  <si>
    <t>Depreciation &amp; Amortisation = 863</t>
  </si>
  <si>
    <t>Depreciation&amp;Amortisiation=526</t>
  </si>
  <si>
    <t>Interest recieved=819</t>
  </si>
  <si>
    <t>finance cost = 72</t>
  </si>
  <si>
    <t>share based Payment(Non Cash) = 798</t>
  </si>
  <si>
    <t>share based payment=322</t>
  </si>
  <si>
    <t>finance cost = 154</t>
  </si>
  <si>
    <t>Debt Service=Interest+Principal Repayment</t>
  </si>
  <si>
    <t>Debt service = 147+258=405</t>
  </si>
  <si>
    <t>EFFICIENCY RATIOS</t>
  </si>
  <si>
    <t>Total Asset Turnover</t>
  </si>
  <si>
    <t>Net Sales(Revenue) / Avg. Total Assets</t>
  </si>
  <si>
    <t>20,243 / 29,489.5</t>
  </si>
  <si>
    <t>0.69x</t>
  </si>
  <si>
    <t>12,114 / 22,477.5</t>
  </si>
  <si>
    <t>0.54x</t>
  </si>
  <si>
    <t>Fixed Asset Turnover</t>
  </si>
  <si>
    <t>Net Sales(Revenue)/ Avg. Fixed Assets</t>
  </si>
  <si>
    <t>20,243 / 1,964.5</t>
  </si>
  <si>
    <t>10.30x</t>
  </si>
  <si>
    <t>12,114 / 995</t>
  </si>
  <si>
    <t>12.17x</t>
  </si>
  <si>
    <t>Inventory Turnover</t>
  </si>
  <si>
    <t>COGS / Avg. Inventory</t>
  </si>
  <si>
    <t>5,565 / 132</t>
  </si>
  <si>
    <t>42.16x</t>
  </si>
  <si>
    <t>2,882 / 88</t>
  </si>
  <si>
    <t>32.75x</t>
  </si>
  <si>
    <t>Inventory Days</t>
  </si>
  <si>
    <t>365 / Inventory Turnover</t>
  </si>
  <si>
    <t>365 / 42.16</t>
  </si>
  <si>
    <t>8.7 Days</t>
  </si>
  <si>
    <t>365 / 32.75</t>
  </si>
  <si>
    <t>11.1 Days</t>
  </si>
  <si>
    <t>Debtors Turnover</t>
  </si>
  <si>
    <t>Credit Sales(Revenue operation) / Avg. Receivables</t>
  </si>
  <si>
    <t>20,243 / 1,370</t>
  </si>
  <si>
    <t>14.78x</t>
  </si>
  <si>
    <t>12,114 / 794</t>
  </si>
  <si>
    <t>15.26x</t>
  </si>
  <si>
    <t>Collection Period</t>
  </si>
  <si>
    <t>365 / Debtors Turnover</t>
  </si>
  <si>
    <t>365 / 14.78</t>
  </si>
  <si>
    <t>24.7 Days</t>
  </si>
  <si>
    <t>365 / 15.26</t>
  </si>
  <si>
    <t>23.9 Days</t>
  </si>
  <si>
    <t>Avg. Payment Period</t>
  </si>
  <si>
    <t>(Avg. Payables / Purchases) × 365</t>
  </si>
  <si>
    <t>(1,211 / 5,653) × 365</t>
  </si>
  <si>
    <t>79 Days</t>
  </si>
  <si>
    <t>(886 / 2,887) × 365</t>
  </si>
  <si>
    <t>112 Days</t>
  </si>
  <si>
    <t xml:space="preserve">Working Capital Turnover </t>
  </si>
  <si>
    <t>Revenue from Operations​/Average Working capital</t>
  </si>
  <si>
    <t>20,243/5,875</t>
  </si>
  <si>
    <t>12,114 / 3,375</t>
  </si>
  <si>
    <t>3.59</t>
  </si>
  <si>
    <t xml:space="preserve">Current Assets Turnover </t>
  </si>
  <si>
    <t>Revenue from Operations/ Average current Assets</t>
  </si>
  <si>
    <t>20,243/8,579.8</t>
  </si>
  <si>
    <t>12,114/56884</t>
  </si>
  <si>
    <t xml:space="preserve">Creditors Turnover </t>
  </si>
  <si>
    <t>Credit Purchases/Avg. Payables</t>
  </si>
  <si>
    <t>5,653/1,211</t>
  </si>
  <si>
    <t>2,887/886</t>
  </si>
  <si>
    <t>Avg Assets = total assets of closing + total assets of opening/2</t>
  </si>
  <si>
    <t>Avg Assets = 35,623+ 23,356/2=29,489.5</t>
  </si>
  <si>
    <t>Fixed Assets=Property, Plant &amp; Equipment (PPE)+Capital Work-in-Progress (CWIP)+Right-of-Use Assets</t>
  </si>
  <si>
    <t>Measures how efficiently a company uses its total assets to generate revenue.</t>
  </si>
  <si>
    <t>Total Fixed Assets (2025)=965+51+1,918=2,934 crores</t>
  </si>
  <si>
    <t>Measures how effectively the company uses its fixed assets to generate sales.</t>
  </si>
  <si>
    <t>Total Fixed Assets (2024)=287+18+690=995 crores</t>
  </si>
  <si>
    <t>Indicates how many times inventory is sold and replaced during the year.</t>
  </si>
  <si>
    <t>Average Fixed Assets = Opening Fixed Assets+Closing fixed assets/2</t>
  </si>
  <si>
    <t>Shows the average number of days inventory remains unsold.</t>
  </si>
  <si>
    <t>Measures how efficiently the company collects receivables from customers.</t>
  </si>
  <si>
    <t>Average Inventory = Opening Inventory+Closing Inventory/2</t>
  </si>
  <si>
    <t>Shows the average time taken to collect cash from customers.</t>
  </si>
  <si>
    <t>Opening Inventory(2024)= 88 crore</t>
  </si>
  <si>
    <t>Indicates the average time taken by the company to pay its suppliers.</t>
  </si>
  <si>
    <t>Closing Inventory(2025) = 176 crore</t>
  </si>
  <si>
    <t>Measures how efficiently working capital is used to generate revenue.</t>
  </si>
  <si>
    <t>Inventory Turnover = Cogs/Average Inventory</t>
  </si>
  <si>
    <t>Shows how effectively current assets are used to generate sales.</t>
  </si>
  <si>
    <t>Measures how frequently the company pays its suppliers.</t>
  </si>
  <si>
    <t>Average Receivables = Opening Receivables+ Closing Receivables/2</t>
  </si>
  <si>
    <t>Closing Receivables(2025)= 1,946  Opening Receivables(2024)= 794</t>
  </si>
  <si>
    <t>Debtors Turnover = Revenue from Operation/Average Receivables</t>
  </si>
  <si>
    <t>Debtors Turnover=20,243/1,370=14.78</t>
  </si>
  <si>
    <t>Average Payables = Opening Payables+ closing Payables/2</t>
  </si>
  <si>
    <t>closing Payables(2025) = 1,536 crore (75+1,461), opening Payables(2024) = 886 crore (15+871)</t>
  </si>
  <si>
    <t>closing Payables/ opening Payables = Micro enterprises + other creditors</t>
  </si>
  <si>
    <t>Purchase = COGS + Closing Inventory- Opening Inventory</t>
  </si>
  <si>
    <t>Working Capital = Current Assets – Current Liabilities</t>
  </si>
  <si>
    <t>Current Assets (2025) = 11,701 crore</t>
  </si>
  <si>
    <t>Current Liabilities (2025) = 3,326 crore</t>
  </si>
  <si>
    <t>👉 WC (2025) = 11,701 – 3,326 = 8,375 crore</t>
  </si>
  <si>
    <t>Current Assets (2024) = 5,458 crore</t>
  </si>
  <si>
    <t>Current Liabilities (2024) = 2,083 crore</t>
  </si>
  <si>
    <t>👉 WC (2024) = 5,458 – 2,083 = 3,375 crore</t>
  </si>
  <si>
    <t>Avg WC=8,375+3,375​/2=11,750/2​=5,875 crore</t>
  </si>
  <si>
    <t>Current Assets(2023)=108,310</t>
  </si>
  <si>
    <t>Current Liabilities(2023)= 14,410</t>
  </si>
  <si>
    <t>WC(2023)= 108,310-14,410=93,900</t>
  </si>
  <si>
    <t>Avg WC = 3,375+93,900/2= 97275/2 =48,637.5</t>
  </si>
  <si>
    <t xml:space="preserve">step 1. </t>
  </si>
  <si>
    <t>Current Assets(2025)= 11,701</t>
  </si>
  <si>
    <t>current Assets(2024)=5,458</t>
  </si>
  <si>
    <t>current Assets(2023)=108,310</t>
  </si>
  <si>
    <t>Avg. current assets = 11,701+5,458/2 = 17,159/2 = 8,579.8</t>
  </si>
  <si>
    <t>Avg. current assets = 5,458+108,310=113768/2=56,884</t>
  </si>
  <si>
    <t>PROFITABILITY RATIOS</t>
  </si>
  <si>
    <t>Gross Profit Ratio</t>
  </si>
  <si>
    <t>(Revenue − COGS) / Revenue</t>
  </si>
  <si>
    <t>(20,243 − 5,565) / 20,243</t>
  </si>
  <si>
    <t>72.50%</t>
  </si>
  <si>
    <t>(12,114 − 2,882) / 12,114</t>
  </si>
  <si>
    <t>76.21%</t>
  </si>
  <si>
    <t>Operating Profit Ratio</t>
  </si>
  <si>
    <t>EBIT / Revenue</t>
  </si>
  <si>
    <t>851 / 20,243</t>
  </si>
  <si>
    <t>4.20%</t>
  </si>
  <si>
    <t>363 / 12,114</t>
  </si>
  <si>
    <t>3.00%</t>
  </si>
  <si>
    <t>Net Profit Ratio</t>
  </si>
  <si>
    <t>PAT / Revenue</t>
  </si>
  <si>
    <t>527 / 20,243</t>
  </si>
  <si>
    <t>2.60%</t>
  </si>
  <si>
    <t>351 / 12,114</t>
  </si>
  <si>
    <t>2.90%</t>
  </si>
  <si>
    <t>Return on Equity (ROE)</t>
  </si>
  <si>
    <t>PAT / Avg. Equity</t>
  </si>
  <si>
    <t>527 / 25,359</t>
  </si>
  <si>
    <t>2.08%</t>
  </si>
  <si>
    <t>351 / 20,436</t>
  </si>
  <si>
    <t>1.72%</t>
  </si>
  <si>
    <t>ROCE</t>
  </si>
  <si>
    <t>EBIT / Avg. Capital Employed</t>
  </si>
  <si>
    <t>851 / 26,764</t>
  </si>
  <si>
    <t>3.18%</t>
  </si>
  <si>
    <t>363 / 21,231</t>
  </si>
  <si>
    <t>1.71%</t>
  </si>
  <si>
    <t xml:space="preserve"> EPS (INR)</t>
  </si>
  <si>
    <t>PAT/  Weighted Avg. Shares</t>
  </si>
  <si>
    <t>527 / 907</t>
  </si>
  <si>
    <t>₹0.58</t>
  </si>
  <si>
    <t>351 / 868</t>
  </si>
  <si>
    <t>₹0.41</t>
  </si>
  <si>
    <t>Operating Exp. Ratio</t>
  </si>
  <si>
    <t>Operating Exp / Revenue</t>
  </si>
  <si>
    <t>14,041 / 20,243</t>
  </si>
  <si>
    <t>69.36%</t>
  </si>
  <si>
    <t>9,190 / 12,114</t>
  </si>
  <si>
    <t>75.86%</t>
  </si>
  <si>
    <t>Return on Assets</t>
  </si>
  <si>
    <t>PAT/ Avg. Total Assets</t>
  </si>
  <si>
    <t>527/29,489.5</t>
  </si>
  <si>
    <t>351/22,477.5</t>
  </si>
  <si>
    <t>Return on Investment</t>
  </si>
  <si>
    <t>Earning/Investment*100</t>
  </si>
  <si>
    <t>527/30,310*100</t>
  </si>
  <si>
    <t>351/20,406*100</t>
  </si>
  <si>
    <t>P/E Raatio</t>
  </si>
  <si>
    <t>Market price Per shares/Earning per shares</t>
  </si>
  <si>
    <t>182/0.6</t>
  </si>
  <si>
    <t>210/0.41</t>
  </si>
  <si>
    <t>COGS= Purchase+ Change In Inventory</t>
  </si>
  <si>
    <t>PAT = Profit Before Tax - Tax Expense</t>
  </si>
  <si>
    <t>PAT = 697-170 = 527</t>
  </si>
  <si>
    <t>PAT= PBT-TAX</t>
  </si>
  <si>
    <t>PBT=EBIT-TAX or Revenue-operating expenses-interest(finance cost) + other Income</t>
  </si>
  <si>
    <t>Avg. Capital Employed = opening capital employed + closing capital employed/2</t>
  </si>
  <si>
    <t>opening&amp; closing capital employed = 21,273&amp;32,297</t>
  </si>
  <si>
    <t>operating Expenses = Employee Benefits+ other expenses</t>
  </si>
  <si>
    <t>operating Expenses = 2,558+11,483 = 14,041</t>
  </si>
  <si>
    <t>Just to clarify a quick technicality: because the company is listed on a public stock exchange like the NSE, it is a Public Limited company, not a "Pvt Ltd" (Private Limited) entity. Additionally, the corporate parent officially rebranded from Zomato Limited to Eternal Limited (NSE ticker: ETERNAL) in early 2025.</t>
  </si>
  <si>
    <t>Weighted Avg Shares = Opening Shares + Closing Shares/2</t>
  </si>
  <si>
    <t>Weighted Avg Shares = 868+907/2 = 887.5</t>
  </si>
  <si>
    <t>Here are the NSE market prices per share for the company at the close of those financial years:</t>
  </si>
  <si>
    <t>EBIT= Total Revenue - COGS-oprating Expenses - depericiation &amp; amortiziation</t>
  </si>
  <si>
    <t>FY24 (Ended March 31, 2024)</t>
  </si>
  <si>
    <t>Ebit = 21,320-5565-14,041-863=851</t>
  </si>
  <si>
    <t>Closing Price: Approximately ₹182.00 – ₹189.00 * Market Context: The stock hit a then-record high of ₹188.95 on March 27, 2024, closing out the financial year very strongly. At this time, it was still trading under the "ZOMATO" ticker.</t>
  </si>
  <si>
    <t>FY25 (Ended March 31, 2025)</t>
  </si>
  <si>
    <t>Closing Price: Approximately ₹210.00 – ₹227.00</t>
  </si>
  <si>
    <t>Market Context: The stock experienced some standard market volatility in the final weeks of March 2025 (trading around ₹227 mid-month before dropping closer to ₹210 in the final week) but still showcased massive year-over-year growth. This period marked its transition to the "ETERNAL" ticker following its corporate restructuring to house brands like Zomato, Blinkit, and Hyperpure under one umbrella.</t>
  </si>
  <si>
    <t>DUPONT ANALYSIS</t>
  </si>
  <si>
    <t>DuPont Lever</t>
  </si>
  <si>
    <t>Net Profit Margin</t>
  </si>
  <si>
    <t>Net Profit / Revenue</t>
  </si>
  <si>
    <t>Asset Turnover</t>
  </si>
  <si>
    <t>Revenue / Avg. Assets</t>
  </si>
  <si>
    <t>Equity Multiplier</t>
  </si>
  <si>
    <t>Avg. Assets / Avg. Equity</t>
  </si>
  <si>
    <t>29,489.5 / 25,359</t>
  </si>
  <si>
    <t>1.16x</t>
  </si>
  <si>
    <t>22,477.5 / 20,436</t>
  </si>
  <si>
    <t>1.10x</t>
  </si>
  <si>
    <t>Combined ROE</t>
  </si>
  <si>
    <t>Margin × Turnover × Multiplier</t>
  </si>
  <si>
    <t>0.026 × 0.69 × 1.16</t>
  </si>
  <si>
    <t>0.029 × 0.54 × 1.10</t>
  </si>
  <si>
    <t>Legend:</t>
  </si>
  <si>
    <t>Blue text</t>
  </si>
  <si>
    <t>Hardcoded input values</t>
  </si>
  <si>
    <t>Avg. Assets = opening Total Assets+ Closing Total Assets/2</t>
  </si>
  <si>
    <t>Black bold</t>
  </si>
  <si>
    <t>Result / output</t>
  </si>
  <si>
    <t>Avg. Equity = opening  Equity+Closing Equity/2</t>
  </si>
  <si>
    <t>Yellow row</t>
  </si>
  <si>
    <t>Combined ROE output</t>
  </si>
  <si>
    <t>opening assets=23,356(2024)  Closing Assets=35,623(2025)</t>
  </si>
  <si>
    <t>opening Equity = 20,406, Closing Equity = 30,310</t>
  </si>
  <si>
    <t>Basic Defense Ratio (BDR)</t>
  </si>
  <si>
    <t>Calculation</t>
  </si>
  <si>
    <t>Calulation</t>
  </si>
  <si>
    <t>Result</t>
  </si>
  <si>
    <t>Delivery &amp; related charges = 5,728 crore</t>
  </si>
  <si>
    <t>Advertisement &amp; sales promotion = 1,972 crore</t>
  </si>
  <si>
    <t>IT support &amp; server cost = 644 crore</t>
  </si>
  <si>
    <t>Outsourced support cost = 570 crore</t>
  </si>
  <si>
    <t>Payment gateway charges = 228 crore</t>
  </si>
  <si>
    <t>Others = 2,341 crore</t>
  </si>
  <si>
    <t>👉 Total:11,483 crore</t>
  </si>
  <si>
    <t>\text{Daily Operating Expenses} = \frac{\text{COGS + Selling &amp; Distribution + Admin &amp; General − Depreciation − Non-cash Expenses}}{365}</t>
  </si>
  <si>
    <t>cogs=5,565</t>
  </si>
  <si>
    <t>depriciation=863</t>
  </si>
  <si>
    <t>Total operationg(excluding non cash)=16,185(5,565+11,483-863)</t>
  </si>
  <si>
    <t>daily operating expenses = 16,185/365=44.34 cr per day</t>
  </si>
  <si>
    <t xml:space="preserve">Delivery and related charegs </t>
  </si>
  <si>
    <t>FY25</t>
  </si>
  <si>
    <t>FY24</t>
  </si>
  <si>
    <t>Advertisement and sa;es promotion</t>
  </si>
  <si>
    <t xml:space="preserve">IT support services , server and communication cost </t>
  </si>
  <si>
    <t>outsourced support cost</t>
  </si>
  <si>
    <t>payment gateway charges</t>
  </si>
  <si>
    <t>Others</t>
  </si>
  <si>
    <t>Total</t>
  </si>
  <si>
    <t>COGS= 5,653+(-88) = 5565(2025)</t>
  </si>
  <si>
    <t>COGS=2,887+(-5)= 2,882</t>
  </si>
  <si>
    <t>Total operationg(excluding non cash) = 2882+7531-526= 9,887cr</t>
  </si>
  <si>
    <t>daily operating expenses = 9,887/365=27.09cr per day</t>
  </si>
  <si>
    <t>prepaid expeses = 76(2025)</t>
  </si>
  <si>
    <t>for 2024</t>
  </si>
  <si>
    <t>prepaid expeses = 85(2024)</t>
  </si>
  <si>
    <t>current assets-inventory-prepaid expenses/Daily Operating Expenses​</t>
  </si>
  <si>
    <t>11,701-176-76/44.34</t>
  </si>
  <si>
    <t>5,458-88-85/27.09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</si>
</sst>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G8" sqref="G8"/>
    </sheetView>
  </sheetViews>
  <sheetFormatPr defaultRowHeight="14.4" x14ac:dyDescent="0.3"/>
  <cols>
    <col min="1" max="1" width="24.6640625" bestFit="1" customWidth="1"/>
    <col min="2" max="2" width="57.6640625" bestFit="1" customWidth="1"/>
    <col min="3" max="3" width="18.77734375" bestFit="1" customWidth="1"/>
    <col min="4" max="4" width="14.77734375" bestFit="1" customWidth="1"/>
    <col min="5" max="5" width="44.21875" bestFit="1" customWidth="1"/>
    <col min="6" max="6" width="13.77734375" bestFit="1" customWidth="1"/>
  </cols>
  <sheetData>
    <row r="1" spans="1:9" x14ac:dyDescent="0.3">
      <c r="A1" s="1" t="s">
        <v>0</v>
      </c>
      <c r="B1" s="1" t="s">
        <v>2</v>
      </c>
      <c r="C1" s="1" t="s">
        <v>282</v>
      </c>
      <c r="D1" s="1" t="s">
        <v>284</v>
      </c>
      <c r="E1" s="1" t="s">
        <v>283</v>
      </c>
      <c r="F1" s="1" t="s">
        <v>284</v>
      </c>
    </row>
    <row r="2" spans="1:9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9" x14ac:dyDescent="0.3">
      <c r="A3" t="s">
        <v>7</v>
      </c>
      <c r="B3" t="s">
        <v>8</v>
      </c>
      <c r="C3" t="s">
        <v>9</v>
      </c>
      <c r="D3">
        <v>3.52</v>
      </c>
      <c r="E3" t="s">
        <v>10</v>
      </c>
      <c r="F3">
        <v>2.62</v>
      </c>
      <c r="I3" t="s">
        <v>292</v>
      </c>
    </row>
    <row r="4" spans="1:9" x14ac:dyDescent="0.3">
      <c r="A4" t="s">
        <v>11</v>
      </c>
      <c r="B4" t="s">
        <v>12</v>
      </c>
      <c r="C4" t="s">
        <v>13</v>
      </c>
      <c r="D4">
        <v>3.47</v>
      </c>
      <c r="E4" t="s">
        <v>14</v>
      </c>
      <c r="F4">
        <v>2.58</v>
      </c>
    </row>
    <row r="5" spans="1:9" x14ac:dyDescent="0.3">
      <c r="A5" t="s">
        <v>15</v>
      </c>
      <c r="B5" t="s">
        <v>16</v>
      </c>
      <c r="C5" t="s">
        <v>17</v>
      </c>
      <c r="D5">
        <v>0.88</v>
      </c>
      <c r="E5" t="s">
        <v>18</v>
      </c>
      <c r="F5">
        <v>0.76</v>
      </c>
    </row>
    <row r="6" spans="1:9" x14ac:dyDescent="0.3">
      <c r="A6" t="s">
        <v>19</v>
      </c>
      <c r="B6" t="s">
        <v>20</v>
      </c>
      <c r="C6" t="s">
        <v>21</v>
      </c>
      <c r="D6">
        <v>8375</v>
      </c>
      <c r="E6" t="s">
        <v>22</v>
      </c>
      <c r="F6">
        <v>3375</v>
      </c>
    </row>
    <row r="7" spans="1:9" x14ac:dyDescent="0.3">
      <c r="A7" s="2" t="s">
        <v>281</v>
      </c>
      <c r="B7" t="s">
        <v>313</v>
      </c>
      <c r="C7" s="3" t="s">
        <v>314</v>
      </c>
      <c r="D7" s="4">
        <v>258.209</v>
      </c>
      <c r="E7" s="3" t="s">
        <v>315</v>
      </c>
      <c r="F7" s="4">
        <v>195.09</v>
      </c>
    </row>
    <row r="10" spans="1:9" ht="25.05" customHeight="1" x14ac:dyDescent="0.3"/>
    <row r="11" spans="1:9" x14ac:dyDescent="0.3">
      <c r="B11" t="s">
        <v>294</v>
      </c>
    </row>
    <row r="12" spans="1:9" x14ac:dyDescent="0.3">
      <c r="B12" t="s">
        <v>293</v>
      </c>
      <c r="F12" t="s">
        <v>298</v>
      </c>
      <c r="G12" t="s">
        <v>299</v>
      </c>
    </row>
    <row r="13" spans="1:9" x14ac:dyDescent="0.3">
      <c r="B13" t="s">
        <v>285</v>
      </c>
      <c r="E13" t="s">
        <v>297</v>
      </c>
      <c r="F13">
        <v>5728</v>
      </c>
      <c r="G13">
        <v>3915</v>
      </c>
    </row>
    <row r="14" spans="1:9" x14ac:dyDescent="0.3">
      <c r="B14" t="s">
        <v>286</v>
      </c>
      <c r="E14" t="s">
        <v>300</v>
      </c>
      <c r="F14">
        <v>1972</v>
      </c>
      <c r="G14">
        <v>1432</v>
      </c>
    </row>
    <row r="15" spans="1:9" x14ac:dyDescent="0.3">
      <c r="B15" t="s">
        <v>287</v>
      </c>
      <c r="E15" t="s">
        <v>301</v>
      </c>
      <c r="F15">
        <v>644</v>
      </c>
      <c r="G15">
        <v>485</v>
      </c>
    </row>
    <row r="16" spans="1:9" x14ac:dyDescent="0.3">
      <c r="B16" t="s">
        <v>288</v>
      </c>
      <c r="E16" t="s">
        <v>302</v>
      </c>
      <c r="F16">
        <v>570</v>
      </c>
      <c r="G16">
        <v>330</v>
      </c>
    </row>
    <row r="17" spans="2:7" x14ac:dyDescent="0.3">
      <c r="B17" t="s">
        <v>289</v>
      </c>
      <c r="E17" t="s">
        <v>303</v>
      </c>
      <c r="F17">
        <v>228</v>
      </c>
      <c r="G17">
        <v>190</v>
      </c>
    </row>
    <row r="18" spans="2:7" x14ac:dyDescent="0.3">
      <c r="B18" t="s">
        <v>290</v>
      </c>
      <c r="E18" t="s">
        <v>304</v>
      </c>
      <c r="F18">
        <v>2341</v>
      </c>
      <c r="G18">
        <v>1179</v>
      </c>
    </row>
    <row r="19" spans="2:7" x14ac:dyDescent="0.3">
      <c r="B19" t="s">
        <v>291</v>
      </c>
      <c r="E19" t="s">
        <v>305</v>
      </c>
      <c r="F19">
        <f>SUM(F13:F18)</f>
        <v>11483</v>
      </c>
      <c r="G19">
        <v>7531</v>
      </c>
    </row>
    <row r="22" spans="2:7" x14ac:dyDescent="0.3">
      <c r="B22" t="s">
        <v>295</v>
      </c>
    </row>
    <row r="26" spans="2:7" x14ac:dyDescent="0.3">
      <c r="B26" t="s">
        <v>296</v>
      </c>
      <c r="E26" t="s">
        <v>310</v>
      </c>
    </row>
    <row r="27" spans="2:7" x14ac:dyDescent="0.3">
      <c r="E27" t="s">
        <v>312</v>
      </c>
    </row>
    <row r="30" spans="2:7" x14ac:dyDescent="0.3">
      <c r="B30" t="s">
        <v>311</v>
      </c>
    </row>
    <row r="31" spans="2:7" x14ac:dyDescent="0.3">
      <c r="B31" t="s">
        <v>308</v>
      </c>
    </row>
    <row r="32" spans="2:7" x14ac:dyDescent="0.3">
      <c r="B32" t="s">
        <v>309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selection activeCell="I9" sqref="I9"/>
    </sheetView>
  </sheetViews>
  <sheetFormatPr defaultRowHeight="14.4" x14ac:dyDescent="0.3"/>
  <cols>
    <col min="1" max="1" width="30.5546875" bestFit="1" customWidth="1"/>
    <col min="2" max="2" width="52.77734375" bestFit="1" customWidth="1"/>
    <col min="3" max="3" width="16.5546875" bestFit="1" customWidth="1"/>
    <col min="4" max="4" width="12.33203125" bestFit="1" customWidth="1"/>
    <col min="5" max="5" width="28.21875" bestFit="1" customWidth="1"/>
    <col min="6" max="6" width="12.33203125" bestFit="1" customWidth="1"/>
    <col min="7" max="7" width="9.5546875" customWidth="1"/>
    <col min="8" max="8" width="9.21875" customWidth="1"/>
  </cols>
  <sheetData>
    <row r="1" spans="1:6" x14ac:dyDescent="0.3">
      <c r="A1" s="1" t="s">
        <v>1</v>
      </c>
      <c r="B1" s="1" t="s">
        <v>2</v>
      </c>
      <c r="C1" s="1" t="s">
        <v>282</v>
      </c>
      <c r="D1" s="1" t="s">
        <v>284</v>
      </c>
      <c r="E1" s="1" t="s">
        <v>283</v>
      </c>
      <c r="F1" s="1" t="s">
        <v>284</v>
      </c>
    </row>
    <row r="2" spans="1:6" x14ac:dyDescent="0.3">
      <c r="A2" t="s">
        <v>23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</row>
    <row r="5" spans="1:6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</row>
    <row r="6" spans="1:6" x14ac:dyDescent="0.3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</row>
    <row r="7" spans="1:6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</row>
    <row r="8" spans="1:6" x14ac:dyDescent="0.3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</row>
    <row r="9" spans="1:6" x14ac:dyDescent="0.3">
      <c r="B9" t="s">
        <v>54</v>
      </c>
    </row>
    <row r="10" spans="1:6" x14ac:dyDescent="0.3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</row>
    <row r="14" spans="1:6" x14ac:dyDescent="0.3">
      <c r="B14" t="s">
        <v>61</v>
      </c>
      <c r="E14" t="s">
        <v>62</v>
      </c>
    </row>
    <row r="15" spans="1:6" x14ac:dyDescent="0.3">
      <c r="B15" t="s">
        <v>63</v>
      </c>
    </row>
    <row r="16" spans="1:6" x14ac:dyDescent="0.3">
      <c r="B16" t="s">
        <v>64</v>
      </c>
      <c r="E16" t="s">
        <v>65</v>
      </c>
    </row>
    <row r="17" spans="2:5" x14ac:dyDescent="0.3">
      <c r="B17" t="s">
        <v>66</v>
      </c>
      <c r="E17" t="s">
        <v>67</v>
      </c>
    </row>
    <row r="18" spans="2:5" x14ac:dyDescent="0.3">
      <c r="B18" t="s">
        <v>68</v>
      </c>
      <c r="E18" t="s">
        <v>69</v>
      </c>
    </row>
    <row r="19" spans="2:5" x14ac:dyDescent="0.3">
      <c r="B19" t="s">
        <v>70</v>
      </c>
      <c r="E19" t="s">
        <v>71</v>
      </c>
    </row>
    <row r="20" spans="2:5" x14ac:dyDescent="0.3">
      <c r="B20" t="s">
        <v>72</v>
      </c>
      <c r="E20" t="s">
        <v>73</v>
      </c>
    </row>
    <row r="21" spans="2:5" x14ac:dyDescent="0.3">
      <c r="B21" t="s">
        <v>74</v>
      </c>
    </row>
    <row r="22" spans="2:5" x14ac:dyDescent="0.3">
      <c r="B22" t="s">
        <v>75</v>
      </c>
    </row>
    <row r="23" spans="2:5" x14ac:dyDescent="0.3">
      <c r="B23" t="s">
        <v>76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"/>
  <sheetViews>
    <sheetView workbookViewId="0">
      <selection activeCell="B28" sqref="B28"/>
    </sheetView>
  </sheetViews>
  <sheetFormatPr defaultRowHeight="14.4" x14ac:dyDescent="0.3"/>
  <cols>
    <col min="1" max="1" width="22.44140625" bestFit="1" customWidth="1"/>
    <col min="2" max="2" width="85.33203125" bestFit="1" customWidth="1"/>
    <col min="3" max="3" width="65.77734375" bestFit="1" customWidth="1"/>
    <col min="4" max="4" width="12.33203125" bestFit="1" customWidth="1"/>
    <col min="5" max="5" width="16.5546875" bestFit="1" customWidth="1"/>
    <col min="6" max="6" width="12.33203125" bestFit="1" customWidth="1"/>
    <col min="7" max="10" width="9.109375" customWidth="1"/>
  </cols>
  <sheetData>
    <row r="1" spans="1:6" x14ac:dyDescent="0.3">
      <c r="A1" s="1" t="s">
        <v>77</v>
      </c>
      <c r="B1" s="1" t="s">
        <v>2</v>
      </c>
      <c r="C1" s="1" t="s">
        <v>282</v>
      </c>
      <c r="D1" s="1" t="s">
        <v>284</v>
      </c>
      <c r="E1" s="1" t="s">
        <v>283</v>
      </c>
      <c r="F1" s="1" t="s">
        <v>284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 t="s">
        <v>78</v>
      </c>
      <c r="B4" t="s">
        <v>79</v>
      </c>
      <c r="C4" t="s">
        <v>80</v>
      </c>
      <c r="D4" t="s">
        <v>81</v>
      </c>
      <c r="E4" t="s">
        <v>82</v>
      </c>
      <c r="F4" t="s">
        <v>83</v>
      </c>
    </row>
    <row r="5" spans="1:6" x14ac:dyDescent="0.3">
      <c r="A5" t="s">
        <v>84</v>
      </c>
      <c r="B5" t="s">
        <v>85</v>
      </c>
      <c r="C5" t="s">
        <v>86</v>
      </c>
      <c r="D5" t="s">
        <v>87</v>
      </c>
      <c r="E5" t="s">
        <v>88</v>
      </c>
      <c r="F5" t="s">
        <v>89</v>
      </c>
    </row>
    <row r="6" spans="1:6" x14ac:dyDescent="0.3">
      <c r="A6" t="s">
        <v>90</v>
      </c>
      <c r="B6" t="s">
        <v>91</v>
      </c>
      <c r="C6" t="s">
        <v>92</v>
      </c>
      <c r="D6" t="s">
        <v>93</v>
      </c>
      <c r="E6" t="s">
        <v>94</v>
      </c>
      <c r="F6" t="s">
        <v>95</v>
      </c>
    </row>
    <row r="7" spans="1:6" x14ac:dyDescent="0.3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</row>
    <row r="8" spans="1:6" x14ac:dyDescent="0.3">
      <c r="A8" t="s">
        <v>102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</row>
    <row r="9" spans="1:6" x14ac:dyDescent="0.3">
      <c r="A9" t="s">
        <v>108</v>
      </c>
      <c r="B9" t="s">
        <v>109</v>
      </c>
      <c r="C9" t="s">
        <v>110</v>
      </c>
      <c r="D9" t="s">
        <v>111</v>
      </c>
      <c r="E9" t="s">
        <v>112</v>
      </c>
      <c r="F9" t="s">
        <v>113</v>
      </c>
    </row>
    <row r="10" spans="1:6" x14ac:dyDescent="0.3">
      <c r="A10" t="s">
        <v>114</v>
      </c>
      <c r="B10" t="s">
        <v>115</v>
      </c>
      <c r="C10" t="s">
        <v>116</v>
      </c>
      <c r="D10" t="s">
        <v>117</v>
      </c>
      <c r="E10" t="s">
        <v>118</v>
      </c>
      <c r="F10" t="s">
        <v>119</v>
      </c>
    </row>
    <row r="11" spans="1:6" x14ac:dyDescent="0.3">
      <c r="A11" t="s">
        <v>120</v>
      </c>
      <c r="B11" t="s">
        <v>121</v>
      </c>
      <c r="C11" t="s">
        <v>122</v>
      </c>
      <c r="D11">
        <v>3.45</v>
      </c>
      <c r="E11" t="s">
        <v>123</v>
      </c>
      <c r="F11" t="s">
        <v>124</v>
      </c>
    </row>
    <row r="12" spans="1:6" x14ac:dyDescent="0.3">
      <c r="A12" t="s">
        <v>125</v>
      </c>
      <c r="B12" t="s">
        <v>126</v>
      </c>
      <c r="C12" t="s">
        <v>127</v>
      </c>
      <c r="D12">
        <v>2.36</v>
      </c>
      <c r="E12" t="s">
        <v>128</v>
      </c>
      <c r="F12">
        <v>0.21</v>
      </c>
    </row>
    <row r="13" spans="1:6" x14ac:dyDescent="0.3">
      <c r="A13" t="s">
        <v>129</v>
      </c>
      <c r="B13" t="s">
        <v>130</v>
      </c>
      <c r="C13" t="s">
        <v>131</v>
      </c>
      <c r="D13">
        <v>4.6680429400000003</v>
      </c>
      <c r="E13" t="s">
        <v>132</v>
      </c>
      <c r="F13">
        <v>3.25</v>
      </c>
    </row>
    <row r="15" spans="1:6" x14ac:dyDescent="0.3">
      <c r="B15" t="s">
        <v>133</v>
      </c>
    </row>
    <row r="16" spans="1:6" x14ac:dyDescent="0.3">
      <c r="B16" t="s">
        <v>134</v>
      </c>
    </row>
    <row r="17" spans="2:3" x14ac:dyDescent="0.3">
      <c r="B17" t="s">
        <v>135</v>
      </c>
      <c r="C17" t="s">
        <v>136</v>
      </c>
    </row>
    <row r="18" spans="2:3" x14ac:dyDescent="0.3">
      <c r="B18" t="s">
        <v>137</v>
      </c>
      <c r="C18" t="s">
        <v>138</v>
      </c>
    </row>
    <row r="19" spans="2:3" x14ac:dyDescent="0.3">
      <c r="B19" t="s">
        <v>139</v>
      </c>
      <c r="C19" t="s">
        <v>140</v>
      </c>
    </row>
    <row r="20" spans="2:3" x14ac:dyDescent="0.3">
      <c r="B20" t="s">
        <v>141</v>
      </c>
      <c r="C20" t="s">
        <v>142</v>
      </c>
    </row>
    <row r="21" spans="2:3" x14ac:dyDescent="0.3">
      <c r="C21" t="s">
        <v>143</v>
      </c>
    </row>
    <row r="22" spans="2:3" x14ac:dyDescent="0.3">
      <c r="B22" t="s">
        <v>144</v>
      </c>
      <c r="C22" t="s">
        <v>145</v>
      </c>
    </row>
    <row r="23" spans="2:3" x14ac:dyDescent="0.3">
      <c r="B23" t="s">
        <v>146</v>
      </c>
      <c r="C23" t="s">
        <v>147</v>
      </c>
    </row>
    <row r="24" spans="2:3" x14ac:dyDescent="0.3">
      <c r="B24" t="s">
        <v>148</v>
      </c>
      <c r="C24" t="s">
        <v>149</v>
      </c>
    </row>
    <row r="25" spans="2:3" x14ac:dyDescent="0.3">
      <c r="B25" t="s">
        <v>150</v>
      </c>
      <c r="C25" t="s">
        <v>151</v>
      </c>
    </row>
    <row r="26" spans="2:3" x14ac:dyDescent="0.3">
      <c r="C26" t="s">
        <v>152</v>
      </c>
    </row>
    <row r="27" spans="2:3" x14ac:dyDescent="0.3">
      <c r="B27" t="s">
        <v>153</v>
      </c>
    </row>
    <row r="28" spans="2:3" x14ac:dyDescent="0.3">
      <c r="B28" t="s">
        <v>154</v>
      </c>
    </row>
    <row r="30" spans="2:3" x14ac:dyDescent="0.3">
      <c r="B30" t="s">
        <v>155</v>
      </c>
    </row>
    <row r="31" spans="2:3" x14ac:dyDescent="0.3">
      <c r="B31" t="s">
        <v>156</v>
      </c>
    </row>
    <row r="33" spans="2:2" x14ac:dyDescent="0.3">
      <c r="B33" t="s">
        <v>157</v>
      </c>
    </row>
    <row r="34" spans="2:2" x14ac:dyDescent="0.3">
      <c r="B34" t="s">
        <v>158</v>
      </c>
    </row>
    <row r="35" spans="2:2" x14ac:dyDescent="0.3">
      <c r="B35" t="s">
        <v>159</v>
      </c>
    </row>
    <row r="37" spans="2:2" x14ac:dyDescent="0.3">
      <c r="B37" t="s">
        <v>160</v>
      </c>
    </row>
    <row r="40" spans="2:2" x14ac:dyDescent="0.3">
      <c r="B40" t="s">
        <v>161</v>
      </c>
    </row>
    <row r="42" spans="2:2" x14ac:dyDescent="0.3">
      <c r="B42" t="s">
        <v>162</v>
      </c>
    </row>
    <row r="43" spans="2:2" x14ac:dyDescent="0.3">
      <c r="B43" t="s">
        <v>163</v>
      </c>
    </row>
    <row r="44" spans="2:2" x14ac:dyDescent="0.3">
      <c r="B44" t="s">
        <v>164</v>
      </c>
    </row>
    <row r="45" spans="2:2" x14ac:dyDescent="0.3">
      <c r="B45" t="s">
        <v>165</v>
      </c>
    </row>
    <row r="46" spans="2:2" x14ac:dyDescent="0.3">
      <c r="B46" t="s">
        <v>166</v>
      </c>
    </row>
    <row r="47" spans="2:2" x14ac:dyDescent="0.3">
      <c r="B47" t="s">
        <v>167</v>
      </c>
    </row>
    <row r="50" spans="2:2" x14ac:dyDescent="0.3">
      <c r="B50" t="s">
        <v>168</v>
      </c>
    </row>
    <row r="52" spans="2:2" x14ac:dyDescent="0.3">
      <c r="B52" t="s">
        <v>165</v>
      </c>
    </row>
    <row r="53" spans="2:2" x14ac:dyDescent="0.3">
      <c r="B53" t="s">
        <v>166</v>
      </c>
    </row>
    <row r="54" spans="2:2" x14ac:dyDescent="0.3">
      <c r="B54" t="s">
        <v>167</v>
      </c>
    </row>
    <row r="55" spans="2:2" x14ac:dyDescent="0.3">
      <c r="B55" t="s">
        <v>169</v>
      </c>
    </row>
    <row r="56" spans="2:2" x14ac:dyDescent="0.3">
      <c r="B56" t="s">
        <v>170</v>
      </c>
    </row>
    <row r="57" spans="2:2" x14ac:dyDescent="0.3">
      <c r="B57" t="s">
        <v>171</v>
      </c>
    </row>
    <row r="59" spans="2:2" x14ac:dyDescent="0.3">
      <c r="B59" t="s">
        <v>172</v>
      </c>
    </row>
    <row r="64" spans="2:2" x14ac:dyDescent="0.3">
      <c r="B64" t="s">
        <v>173</v>
      </c>
    </row>
    <row r="65" spans="2:2" x14ac:dyDescent="0.3">
      <c r="B65" t="s">
        <v>174</v>
      </c>
    </row>
    <row r="66" spans="2:2" x14ac:dyDescent="0.3">
      <c r="B66" t="s">
        <v>175</v>
      </c>
    </row>
    <row r="67" spans="2:2" x14ac:dyDescent="0.3">
      <c r="B67" t="s">
        <v>176</v>
      </c>
    </row>
    <row r="68" spans="2:2" x14ac:dyDescent="0.3">
      <c r="B68" t="s">
        <v>177</v>
      </c>
    </row>
    <row r="70" spans="2:2" x14ac:dyDescent="0.3">
      <c r="B70" t="s">
        <v>178</v>
      </c>
    </row>
  </sheetData>
  <sheetProtection algorithmName="SHA-512" hashValue="qfC61dUtHWCYIQ+REoR0p5Usu8BCC39K0vjTXlIKfuAbFtTViXlaj3Vr3DTEjVWhcfuDzVd3LejFkZ8Z7HlLJA==" saltValue="8IXD3NY9awqgK8VUuNOo3A==" spinCount="100000" sheet="1" objects="1" scenarios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topLeftCell="A11" zoomScale="107" zoomScaleNormal="107" workbookViewId="0">
      <selection activeCell="C18" sqref="C18"/>
    </sheetView>
  </sheetViews>
  <sheetFormatPr defaultRowHeight="14.4" x14ac:dyDescent="0.3"/>
  <cols>
    <col min="1" max="1" width="21.6640625" bestFit="1" customWidth="1"/>
    <col min="2" max="2" width="78.6640625" bestFit="1" customWidth="1"/>
    <col min="3" max="3" width="35.5546875" bestFit="1" customWidth="1"/>
    <col min="4" max="4" width="13.5546875" bestFit="1" customWidth="1"/>
    <col min="5" max="5" width="22.21875" bestFit="1" customWidth="1"/>
    <col min="6" max="6" width="12.33203125" bestFit="1" customWidth="1"/>
  </cols>
  <sheetData>
    <row r="1" spans="1:13" x14ac:dyDescent="0.3">
      <c r="A1" s="1" t="s">
        <v>179</v>
      </c>
      <c r="B1" s="1" t="s">
        <v>2</v>
      </c>
      <c r="C1" s="1" t="s">
        <v>282</v>
      </c>
      <c r="D1" s="1" t="s">
        <v>284</v>
      </c>
      <c r="E1" s="1" t="s">
        <v>283</v>
      </c>
      <c r="F1" s="1" t="s">
        <v>284</v>
      </c>
      <c r="M1" t="s">
        <v>243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13" x14ac:dyDescent="0.3">
      <c r="A3" t="s">
        <v>180</v>
      </c>
      <c r="B3" t="s">
        <v>181</v>
      </c>
      <c r="C3" t="s">
        <v>182</v>
      </c>
      <c r="D3" t="s">
        <v>183</v>
      </c>
      <c r="E3" t="s">
        <v>184</v>
      </c>
      <c r="F3" t="s">
        <v>185</v>
      </c>
      <c r="M3" t="s">
        <v>246</v>
      </c>
    </row>
    <row r="4" spans="1:13" x14ac:dyDescent="0.3">
      <c r="A4" t="s">
        <v>186</v>
      </c>
      <c r="B4" t="s">
        <v>187</v>
      </c>
      <c r="C4" t="s">
        <v>188</v>
      </c>
      <c r="D4" t="s">
        <v>189</v>
      </c>
      <c r="E4" t="s">
        <v>190</v>
      </c>
      <c r="F4" t="s">
        <v>191</v>
      </c>
    </row>
    <row r="5" spans="1:13" x14ac:dyDescent="0.3">
      <c r="A5" t="s">
        <v>192</v>
      </c>
      <c r="B5" t="s">
        <v>193</v>
      </c>
      <c r="C5" t="s">
        <v>194</v>
      </c>
      <c r="D5" t="s">
        <v>195</v>
      </c>
      <c r="E5" t="s">
        <v>196</v>
      </c>
      <c r="F5" t="s">
        <v>197</v>
      </c>
      <c r="M5" t="s">
        <v>248</v>
      </c>
    </row>
    <row r="6" spans="1:13" x14ac:dyDescent="0.3">
      <c r="A6" t="s">
        <v>198</v>
      </c>
      <c r="B6" t="s">
        <v>199</v>
      </c>
      <c r="C6" t="s">
        <v>200</v>
      </c>
      <c r="D6" t="s">
        <v>201</v>
      </c>
      <c r="E6" t="s">
        <v>202</v>
      </c>
      <c r="F6" t="s">
        <v>203</v>
      </c>
    </row>
    <row r="7" spans="1:13" x14ac:dyDescent="0.3">
      <c r="A7" t="s">
        <v>204</v>
      </c>
      <c r="B7" t="s">
        <v>205</v>
      </c>
      <c r="C7" t="s">
        <v>206</v>
      </c>
      <c r="D7" t="s">
        <v>207</v>
      </c>
      <c r="E7" t="s">
        <v>208</v>
      </c>
      <c r="F7" t="s">
        <v>209</v>
      </c>
      <c r="M7" t="s">
        <v>250</v>
      </c>
    </row>
    <row r="8" spans="1:13" x14ac:dyDescent="0.3">
      <c r="A8" t="s">
        <v>210</v>
      </c>
      <c r="B8" t="s">
        <v>211</v>
      </c>
      <c r="C8" t="s">
        <v>212</v>
      </c>
      <c r="D8" t="s">
        <v>213</v>
      </c>
      <c r="E8" t="s">
        <v>214</v>
      </c>
      <c r="F8" t="s">
        <v>215</v>
      </c>
      <c r="M8" t="s">
        <v>251</v>
      </c>
    </row>
    <row r="9" spans="1:13" x14ac:dyDescent="0.3">
      <c r="A9" t="s">
        <v>216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</row>
    <row r="10" spans="1:13" x14ac:dyDescent="0.3">
      <c r="A10" t="s">
        <v>222</v>
      </c>
      <c r="B10" t="s">
        <v>223</v>
      </c>
      <c r="C10" t="s">
        <v>224</v>
      </c>
      <c r="D10">
        <v>1.7899999999999999E-2</v>
      </c>
      <c r="E10" t="s">
        <v>225</v>
      </c>
      <c r="F10">
        <v>1.5599999999999999E-2</v>
      </c>
      <c r="M10" t="s">
        <v>252</v>
      </c>
    </row>
    <row r="11" spans="1:13" x14ac:dyDescent="0.3">
      <c r="A11" t="s">
        <v>226</v>
      </c>
      <c r="B11" t="s">
        <v>227</v>
      </c>
      <c r="C11" t="s">
        <v>228</v>
      </c>
      <c r="D11">
        <v>1.7399999999999999E-2</v>
      </c>
      <c r="E11" t="s">
        <v>229</v>
      </c>
      <c r="F11">
        <v>1.72E-2</v>
      </c>
    </row>
    <row r="12" spans="1:13" x14ac:dyDescent="0.3">
      <c r="A12" t="s">
        <v>230</v>
      </c>
      <c r="B12" t="s">
        <v>231</v>
      </c>
      <c r="C12" t="s">
        <v>232</v>
      </c>
      <c r="D12">
        <v>303.33</v>
      </c>
      <c r="E12" t="s">
        <v>233</v>
      </c>
      <c r="F12">
        <v>512.19000000000005</v>
      </c>
      <c r="M12" t="s">
        <v>253</v>
      </c>
    </row>
    <row r="14" spans="1:13" x14ac:dyDescent="0.3">
      <c r="B14" t="s">
        <v>61</v>
      </c>
      <c r="C14" t="s">
        <v>234</v>
      </c>
    </row>
    <row r="15" spans="1:13" x14ac:dyDescent="0.3">
      <c r="B15" t="s">
        <v>63</v>
      </c>
      <c r="C15" t="s">
        <v>306</v>
      </c>
    </row>
    <row r="16" spans="1:13" x14ac:dyDescent="0.3">
      <c r="B16" t="s">
        <v>235</v>
      </c>
    </row>
    <row r="17" spans="2:3" x14ac:dyDescent="0.3">
      <c r="B17" t="s">
        <v>236</v>
      </c>
      <c r="C17" t="s">
        <v>234</v>
      </c>
    </row>
    <row r="18" spans="2:3" x14ac:dyDescent="0.3">
      <c r="B18" t="s">
        <v>237</v>
      </c>
      <c r="C18" t="s">
        <v>307</v>
      </c>
    </row>
    <row r="19" spans="2:3" x14ac:dyDescent="0.3">
      <c r="B19" t="s">
        <v>238</v>
      </c>
    </row>
    <row r="20" spans="2:3" x14ac:dyDescent="0.3">
      <c r="B20" t="s">
        <v>239</v>
      </c>
    </row>
    <row r="21" spans="2:3" x14ac:dyDescent="0.3">
      <c r="B21" t="s">
        <v>240</v>
      </c>
    </row>
    <row r="22" spans="2:3" x14ac:dyDescent="0.3">
      <c r="B22" t="s">
        <v>241</v>
      </c>
    </row>
    <row r="23" spans="2:3" x14ac:dyDescent="0.3">
      <c r="B23" t="s">
        <v>242</v>
      </c>
    </row>
    <row r="26" spans="2:3" x14ac:dyDescent="0.3">
      <c r="B26" t="s">
        <v>244</v>
      </c>
    </row>
    <row r="27" spans="2:3" x14ac:dyDescent="0.3">
      <c r="B27" t="s">
        <v>245</v>
      </c>
    </row>
    <row r="29" spans="2:3" x14ac:dyDescent="0.3">
      <c r="B29" t="s">
        <v>247</v>
      </c>
    </row>
    <row r="30" spans="2:3" x14ac:dyDescent="0.3">
      <c r="B30" t="s">
        <v>249</v>
      </c>
    </row>
  </sheetData>
  <sheetProtection algorithmName="SHA-512" hashValue="kNA0upz7Suul+i2909p6ebtDxqzw8CGjS4icA1OaJ0x/tncHtqKTS6RbATpuUFss8woLAjkKsTzNFHzAWrt9IA==" saltValue="SdO2qx2TQpjlJQOLEDyzog==" spinCount="100000" sheet="1" objects="1" scenarios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selection activeCell="G15" sqref="G15"/>
    </sheetView>
  </sheetViews>
  <sheetFormatPr defaultRowHeight="14.4" x14ac:dyDescent="0.3"/>
  <cols>
    <col min="1" max="1" width="17.21875" bestFit="1" customWidth="1"/>
    <col min="2" max="2" width="26" bestFit="1" customWidth="1"/>
    <col min="3" max="3" width="49.21875" bestFit="1" customWidth="1"/>
    <col min="4" max="4" width="12.33203125" bestFit="1" customWidth="1"/>
    <col min="5" max="5" width="16.5546875" bestFit="1" customWidth="1"/>
    <col min="6" max="6" width="12.33203125" bestFit="1" customWidth="1"/>
    <col min="7" max="9" width="9" customWidth="1"/>
  </cols>
  <sheetData>
    <row r="1" spans="1:6" x14ac:dyDescent="0.3">
      <c r="A1" s="1" t="s">
        <v>254</v>
      </c>
      <c r="B1" s="1" t="s">
        <v>2</v>
      </c>
      <c r="C1" s="1" t="s">
        <v>282</v>
      </c>
      <c r="D1" s="1" t="s">
        <v>284</v>
      </c>
      <c r="E1" s="1" t="s">
        <v>283</v>
      </c>
      <c r="F1" s="1" t="s">
        <v>284</v>
      </c>
    </row>
    <row r="2" spans="1:6" x14ac:dyDescent="0.3">
      <c r="A2" t="s">
        <v>255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256</v>
      </c>
      <c r="B3" t="s">
        <v>257</v>
      </c>
      <c r="C3" t="s">
        <v>194</v>
      </c>
      <c r="D3" t="s">
        <v>195</v>
      </c>
      <c r="E3" t="s">
        <v>196</v>
      </c>
      <c r="F3" t="s">
        <v>197</v>
      </c>
    </row>
    <row r="4" spans="1:6" x14ac:dyDescent="0.3">
      <c r="A4" t="s">
        <v>258</v>
      </c>
      <c r="B4" t="s">
        <v>259</v>
      </c>
      <c r="C4" t="s">
        <v>80</v>
      </c>
      <c r="D4" t="s">
        <v>81</v>
      </c>
      <c r="E4" t="s">
        <v>82</v>
      </c>
      <c r="F4" t="s">
        <v>83</v>
      </c>
    </row>
    <row r="5" spans="1:6" x14ac:dyDescent="0.3">
      <c r="A5" t="s">
        <v>260</v>
      </c>
      <c r="B5" t="s">
        <v>261</v>
      </c>
      <c r="C5" t="s">
        <v>262</v>
      </c>
      <c r="D5" t="s">
        <v>263</v>
      </c>
      <c r="E5" t="s">
        <v>264</v>
      </c>
      <c r="F5" t="s">
        <v>265</v>
      </c>
    </row>
    <row r="6" spans="1:6" x14ac:dyDescent="0.3">
      <c r="A6" t="s">
        <v>266</v>
      </c>
      <c r="B6" t="s">
        <v>267</v>
      </c>
      <c r="C6" t="s">
        <v>268</v>
      </c>
      <c r="D6" t="s">
        <v>201</v>
      </c>
      <c r="E6" t="s">
        <v>269</v>
      </c>
      <c r="F6" t="s">
        <v>203</v>
      </c>
    </row>
    <row r="9" spans="1:6" x14ac:dyDescent="0.3">
      <c r="A9" t="s">
        <v>270</v>
      </c>
    </row>
    <row r="10" spans="1:6" x14ac:dyDescent="0.3">
      <c r="A10" t="s">
        <v>271</v>
      </c>
      <c r="B10" t="s">
        <v>272</v>
      </c>
      <c r="C10" t="s">
        <v>273</v>
      </c>
    </row>
    <row r="11" spans="1:6" x14ac:dyDescent="0.3">
      <c r="A11" t="s">
        <v>274</v>
      </c>
      <c r="B11" t="s">
        <v>275</v>
      </c>
      <c r="C11" t="s">
        <v>276</v>
      </c>
    </row>
    <row r="12" spans="1:6" x14ac:dyDescent="0.3">
      <c r="A12" t="s">
        <v>277</v>
      </c>
      <c r="B12" t="s">
        <v>278</v>
      </c>
    </row>
    <row r="13" spans="1:6" x14ac:dyDescent="0.3">
      <c r="C13" t="s">
        <v>279</v>
      </c>
    </row>
    <row r="15" spans="1:6" x14ac:dyDescent="0.3">
      <c r="C15" t="s">
        <v>280</v>
      </c>
    </row>
  </sheetData>
  <sheetProtection algorithmName="SHA-512" hashValue="6mZT5nTWxOTnDO7Tq9UbkAF0UOymJS/16adnBC2aNSk2y6hYP/WPyvCqJUgQR55+wTijsKznHq5jIZesavMZlg==" saltValue="z/UFVcFzA8iUXIBGbdvenw==" spinCount="100000" sheet="1" objects="1" scenarios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Liquidity Ratios</vt:lpstr>
      <vt:lpstr>Solvency &amp; Coverage Ratios</vt:lpstr>
      <vt:lpstr>Efficiency Ratios</vt:lpstr>
      <vt:lpstr>Profitability Ratios</vt:lpstr>
      <vt:lpstr>DuPont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DHANIKLAL KUMAR</cp:lastModifiedBy>
  <dcterms:created xsi:type="dcterms:W3CDTF">2026-04-30T05:55:39Z</dcterms:created>
  <dcterms:modified xsi:type="dcterms:W3CDTF">2026-05-03T14:03:01Z</dcterms:modified>
</cp:coreProperties>
</file>